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Master\job\Data Analyst\p&amp;l\P-L-forecast-Dashboard\DATA\"/>
    </mc:Choice>
  </mc:AlternateContent>
  <xr:revisionPtr revIDLastSave="0" documentId="8_{95D504FD-67F7-4F89-863F-D433529D9F0F}" xr6:coauthVersionLast="47" xr6:coauthVersionMax="47" xr10:uidLastSave="{00000000-0000-0000-0000-000000000000}"/>
  <bookViews>
    <workbookView xWindow="735" yWindow="525" windowWidth="19305" windowHeight="9480" xr2:uid="{00000000-000D-0000-FFFF-FFFF00000000}"/>
  </bookViews>
  <sheets>
    <sheet name="PnL FORECAST " sheetId="4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1" i="4" l="1"/>
  <c r="J21" i="4"/>
  <c r="K21" i="4"/>
  <c r="H21" i="4"/>
  <c r="I20" i="4"/>
  <c r="J20" i="4"/>
  <c r="K20" i="4"/>
  <c r="H20" i="4"/>
  <c r="I19" i="4"/>
  <c r="J19" i="4"/>
  <c r="K19" i="4"/>
  <c r="H19" i="4"/>
  <c r="I18" i="4"/>
  <c r="J18" i="4"/>
  <c r="K18" i="4"/>
  <c r="H18" i="4"/>
  <c r="K16" i="4"/>
  <c r="J16" i="4"/>
  <c r="I16" i="4"/>
  <c r="H16" i="4"/>
  <c r="H17" i="4"/>
  <c r="K17" i="4"/>
  <c r="J17" i="4"/>
  <c r="I17" i="4"/>
  <c r="E30" i="4"/>
  <c r="G11" i="4"/>
  <c r="F11" i="4"/>
  <c r="E11" i="4"/>
  <c r="D11" i="4"/>
  <c r="G6" i="4"/>
  <c r="F6" i="4"/>
  <c r="E6" i="4"/>
  <c r="D6" i="4"/>
  <c r="G5" i="4"/>
  <c r="F5" i="4"/>
  <c r="E5" i="4"/>
  <c r="D5" i="4"/>
  <c r="F31" i="4" l="1"/>
  <c r="F33" i="4"/>
  <c r="G30" i="4"/>
  <c r="E33" i="4"/>
  <c r="G31" i="4"/>
  <c r="D23" i="4"/>
  <c r="E31" i="4"/>
  <c r="G33" i="4"/>
  <c r="F30" i="4"/>
  <c r="H30" i="4" s="1"/>
  <c r="D25" i="4"/>
  <c r="G22" i="4"/>
  <c r="G32" i="4"/>
  <c r="D22" i="4"/>
  <c r="D24" i="4"/>
  <c r="E22" i="4"/>
  <c r="E32" i="4"/>
  <c r="F32" i="4"/>
  <c r="F22" i="4"/>
  <c r="E23" i="4"/>
  <c r="F23" i="4"/>
  <c r="G23" i="4"/>
  <c r="H31" i="4" l="1"/>
  <c r="I31" i="4"/>
  <c r="I30" i="4"/>
  <c r="H32" i="4"/>
  <c r="I32" i="4"/>
  <c r="I33" i="4"/>
  <c r="H33" i="4"/>
  <c r="D27" i="4"/>
  <c r="G35" i="4"/>
  <c r="G25" i="4"/>
  <c r="G27" i="4" s="1"/>
  <c r="F35" i="4"/>
  <c r="F25" i="4"/>
  <c r="F27" i="4" s="1"/>
  <c r="F24" i="4"/>
  <c r="F26" i="4" s="1"/>
  <c r="F34" i="4"/>
  <c r="D26" i="4"/>
  <c r="G24" i="4"/>
  <c r="G26" i="4" s="1"/>
  <c r="G34" i="4"/>
  <c r="E25" i="4"/>
  <c r="E27" i="4" s="1"/>
  <c r="E35" i="4"/>
  <c r="E24" i="4"/>
  <c r="E26" i="4" s="1"/>
  <c r="E34" i="4"/>
  <c r="H35" i="4" l="1"/>
  <c r="I35" i="4"/>
  <c r="I34" i="4"/>
  <c r="H34" i="4"/>
  <c r="J23" i="4"/>
  <c r="K23" i="4"/>
  <c r="H23" i="4"/>
  <c r="I23" i="4"/>
  <c r="H22" i="4"/>
  <c r="K22" i="4"/>
  <c r="I22" i="4" l="1"/>
  <c r="J22" i="4"/>
  <c r="I24" i="4"/>
  <c r="H24" i="4"/>
  <c r="H26" i="4" s="1"/>
  <c r="J24" i="4"/>
  <c r="K24" i="4"/>
  <c r="K26" i="4" s="1"/>
  <c r="K25" i="4"/>
  <c r="K27" i="4" s="1"/>
  <c r="J25" i="4"/>
  <c r="J27" i="4" s="1"/>
  <c r="I25" i="4"/>
  <c r="I27" i="4" s="1"/>
  <c r="H25" i="4"/>
  <c r="H27" i="4" s="1"/>
  <c r="I26" i="4" l="1"/>
  <c r="J26" i="4"/>
</calcChain>
</file>

<file path=xl/sharedStrings.xml><?xml version="1.0" encoding="utf-8"?>
<sst xmlns="http://schemas.openxmlformats.org/spreadsheetml/2006/main" count="62" uniqueCount="28">
  <si>
    <t>Q1</t>
  </si>
  <si>
    <t>Q2</t>
  </si>
  <si>
    <t>Q3</t>
  </si>
  <si>
    <t>Q4</t>
  </si>
  <si>
    <t>Year</t>
  </si>
  <si>
    <t>Top</t>
  </si>
  <si>
    <t>Bottom</t>
  </si>
  <si>
    <t>Quantity</t>
  </si>
  <si>
    <t>Price</t>
  </si>
  <si>
    <t>Cost</t>
  </si>
  <si>
    <t>Ratio</t>
  </si>
  <si>
    <t>cost</t>
  </si>
  <si>
    <t>Revenue</t>
  </si>
  <si>
    <t>Gross profit</t>
  </si>
  <si>
    <t>Quatitiy growth</t>
  </si>
  <si>
    <t>Price growth</t>
  </si>
  <si>
    <t>Cost growth</t>
  </si>
  <si>
    <t>Average</t>
  </si>
  <si>
    <t>Sum</t>
  </si>
  <si>
    <t>syngo Virtual Cockpit</t>
  </si>
  <si>
    <t>LUMINOS Lotus Max eco</t>
  </si>
  <si>
    <t>COGS</t>
  </si>
  <si>
    <t>Forecasting</t>
  </si>
  <si>
    <t>P&amp;L matrics</t>
  </si>
  <si>
    <t>Drivers</t>
  </si>
  <si>
    <t>Historical Actuals</t>
  </si>
  <si>
    <t>Unit-Driven Forecast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</si>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</sst>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1" formatCode="_-[$$-409]* #,##0_ ;_-[$$-409]* \-#,##0\ ;_-[$$-409]* &quot;-&quot;??_ ;_-@_ "/>
  </numFmts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" fontId="0" fillId="2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0" fontId="0" fillId="2" borderId="2" xfId="0" applyNumberFormat="1" applyFill="1" applyBorder="1" applyAlignment="1">
      <alignment horizontal="center" vertical="center"/>
    </xf>
    <xf numFmtId="10" fontId="0" fillId="2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10" fontId="0" fillId="3" borderId="5" xfId="0" applyNumberFormat="1" applyFill="1" applyBorder="1" applyAlignment="1">
      <alignment horizontal="center" vertical="center"/>
    </xf>
    <xf numFmtId="10" fontId="0" fillId="3" borderId="6" xfId="0" applyNumberFormat="1" applyFill="1" applyBorder="1" applyAlignment="1">
      <alignment horizontal="center" vertical="center"/>
    </xf>
    <xf numFmtId="171" fontId="0" fillId="2" borderId="7" xfId="0" applyNumberFormat="1" applyFill="1" applyBorder="1" applyAlignment="1">
      <alignment horizontal="center" vertical="center"/>
    </xf>
    <xf numFmtId="171" fontId="0" fillId="3" borderId="9" xfId="0" applyNumberFormat="1" applyFill="1" applyBorder="1" applyAlignment="1">
      <alignment horizontal="center" vertical="center"/>
    </xf>
    <xf numFmtId="171" fontId="0" fillId="2" borderId="8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71" fontId="0" fillId="3" borderId="4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71" fontId="0" fillId="2" borderId="1" xfId="0" applyNumberFormat="1" applyFill="1" applyBorder="1" applyAlignment="1">
      <alignment horizontal="center" vertical="center"/>
    </xf>
    <xf numFmtId="171" fontId="0" fillId="2" borderId="10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171" fontId="0" fillId="2" borderId="3" xfId="0" applyNumberFormat="1" applyFill="1" applyBorder="1" applyAlignment="1">
      <alignment horizontal="center" vertical="center"/>
    </xf>
    <xf numFmtId="171" fontId="0" fillId="3" borderId="6" xfId="0" applyNumberFormat="1" applyFill="1" applyBorder="1" applyAlignment="1">
      <alignment horizontal="center" vertical="center"/>
    </xf>
    <xf numFmtId="171" fontId="0" fillId="2" borderId="1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10" fontId="0" fillId="3" borderId="5" xfId="0" applyNumberFormat="1" applyFill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903F-8340-451A-8A4F-918CE8FCFEEE}">
  <dimension ref="A1:O36"/>
  <sheetViews>
    <sheetView tabSelected="1" topLeftCell="A15" workbookViewId="0">
      <selection activeCell="A16" sqref="A16:A21"/>
    </sheetView>
  </sheetViews>
  <sheetFormatPr defaultRowHeight="15" x14ac:dyDescent="0.25"/>
  <cols>
    <col min="1" max="1" width="23" customWidth="1"/>
    <col min="2" max="2" width="19.140625" customWidth="1"/>
    <col min="3" max="3" width="13.7109375" style="47" customWidth="1"/>
    <col min="4" max="11" width="13.140625" bestFit="1" customWidth="1"/>
  </cols>
  <sheetData>
    <row r="1" spans="1:15" x14ac:dyDescent="0.25">
      <c r="A1" s="1"/>
      <c r="B1" s="1"/>
      <c r="C1" s="4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5" t="s">
        <v>20</v>
      </c>
      <c r="B2" s="5" t="s">
        <v>7</v>
      </c>
      <c r="C2" s="43" t="s">
        <v>5</v>
      </c>
      <c r="D2" s="1">
        <v>580</v>
      </c>
      <c r="E2" s="1">
        <v>600</v>
      </c>
      <c r="F2" s="1">
        <v>630</v>
      </c>
      <c r="G2" s="1">
        <v>860</v>
      </c>
      <c r="H2" s="1"/>
      <c r="I2" s="1"/>
      <c r="J2" s="1"/>
      <c r="K2" s="1"/>
      <c r="L2" s="1"/>
      <c r="M2" s="1"/>
      <c r="N2" s="1"/>
      <c r="O2" s="1"/>
    </row>
    <row r="3" spans="1:15" x14ac:dyDescent="0.25">
      <c r="A3" s="5"/>
      <c r="B3" s="5"/>
      <c r="C3" s="43" t="s">
        <v>6</v>
      </c>
      <c r="D3" s="1">
        <v>520</v>
      </c>
      <c r="E3" s="1">
        <v>530</v>
      </c>
      <c r="F3" s="1">
        <v>580</v>
      </c>
      <c r="G3" s="1">
        <v>780</v>
      </c>
      <c r="H3" s="1"/>
      <c r="I3" s="1"/>
      <c r="J3" s="1"/>
      <c r="K3" s="1"/>
      <c r="L3" s="1"/>
      <c r="M3" s="1"/>
      <c r="N3" s="1"/>
      <c r="O3" s="1"/>
    </row>
    <row r="4" spans="1:15" x14ac:dyDescent="0.25">
      <c r="A4" s="5"/>
      <c r="B4" s="5" t="s">
        <v>8</v>
      </c>
      <c r="C4" s="43" t="s">
        <v>5</v>
      </c>
      <c r="D4" s="1">
        <v>956</v>
      </c>
      <c r="E4" s="1">
        <v>960</v>
      </c>
      <c r="F4" s="1">
        <v>966</v>
      </c>
      <c r="G4" s="1">
        <v>971</v>
      </c>
      <c r="H4" s="1"/>
      <c r="I4" s="1"/>
      <c r="J4" s="1"/>
      <c r="K4" s="1"/>
      <c r="L4" s="1"/>
      <c r="M4" s="1"/>
      <c r="N4" s="1"/>
      <c r="O4" s="1"/>
    </row>
    <row r="5" spans="1:15" x14ac:dyDescent="0.25">
      <c r="A5" s="5"/>
      <c r="B5" s="5"/>
      <c r="C5" s="43" t="s">
        <v>6</v>
      </c>
      <c r="D5" s="2">
        <f t="shared" ref="D5:G5" si="0">D4*0.96</f>
        <v>917.76</v>
      </c>
      <c r="E5" s="2">
        <f t="shared" si="0"/>
        <v>921.59999999999991</v>
      </c>
      <c r="F5" s="2">
        <f t="shared" si="0"/>
        <v>927.36</v>
      </c>
      <c r="G5" s="2">
        <f t="shared" si="0"/>
        <v>932.16</v>
      </c>
      <c r="H5" s="1"/>
      <c r="I5" s="1"/>
      <c r="J5" s="1"/>
      <c r="K5" s="1"/>
      <c r="L5" s="1"/>
      <c r="M5" s="1"/>
      <c r="N5" s="1"/>
      <c r="O5" s="1"/>
    </row>
    <row r="6" spans="1:15" x14ac:dyDescent="0.25">
      <c r="A6" s="5"/>
      <c r="B6" s="1" t="s">
        <v>9</v>
      </c>
      <c r="C6" s="43" t="s">
        <v>10</v>
      </c>
      <c r="D6" s="3">
        <f t="shared" ref="D6:G6" ca="1" si="1">RANDBETWEEN(600,650)/1000</f>
        <v>0.62</v>
      </c>
      <c r="E6" s="3">
        <f t="shared" ca="1" si="1"/>
        <v>0.63600000000000001</v>
      </c>
      <c r="F6" s="3">
        <f t="shared" ca="1" si="1"/>
        <v>0.61299999999999999</v>
      </c>
      <c r="G6" s="3">
        <f t="shared" ca="1" si="1"/>
        <v>0.61199999999999999</v>
      </c>
      <c r="H6" s="1"/>
      <c r="I6" s="1"/>
      <c r="J6" s="1"/>
      <c r="K6" s="1"/>
      <c r="L6" s="1"/>
      <c r="M6" s="1"/>
      <c r="N6" s="1"/>
      <c r="O6" s="1"/>
    </row>
    <row r="7" spans="1:15" x14ac:dyDescent="0.25">
      <c r="A7" s="5" t="s">
        <v>19</v>
      </c>
      <c r="B7" s="5" t="s">
        <v>7</v>
      </c>
      <c r="C7" s="43" t="s">
        <v>5</v>
      </c>
      <c r="D7" s="1">
        <v>348</v>
      </c>
      <c r="E7" s="1">
        <v>360</v>
      </c>
      <c r="F7" s="1">
        <v>378</v>
      </c>
      <c r="G7" s="1">
        <v>516</v>
      </c>
      <c r="H7" s="1"/>
      <c r="I7" s="1"/>
      <c r="J7" s="1"/>
      <c r="K7" s="1"/>
      <c r="L7" s="1"/>
      <c r="M7" s="1"/>
      <c r="N7" s="1"/>
      <c r="O7" s="1"/>
    </row>
    <row r="8" spans="1:15" x14ac:dyDescent="0.25">
      <c r="A8" s="5"/>
      <c r="B8" s="5"/>
      <c r="C8" s="43" t="s">
        <v>6</v>
      </c>
      <c r="D8" s="1">
        <v>312</v>
      </c>
      <c r="E8" s="1">
        <v>318</v>
      </c>
      <c r="F8" s="1">
        <v>348</v>
      </c>
      <c r="G8" s="1">
        <v>468</v>
      </c>
      <c r="H8" s="1"/>
      <c r="I8" s="1"/>
      <c r="J8" s="1"/>
      <c r="K8" s="1"/>
      <c r="L8" s="1"/>
      <c r="M8" s="1"/>
      <c r="N8" s="1"/>
      <c r="O8" s="1"/>
    </row>
    <row r="9" spans="1:15" x14ac:dyDescent="0.25">
      <c r="A9" s="5"/>
      <c r="B9" s="5" t="s">
        <v>8</v>
      </c>
      <c r="C9" s="43" t="s">
        <v>5</v>
      </c>
      <c r="D9" s="2">
        <v>1092.7080000000001</v>
      </c>
      <c r="E9" s="2">
        <v>1103.04</v>
      </c>
      <c r="F9" s="2">
        <v>1097.376</v>
      </c>
      <c r="G9" s="2">
        <v>1104.998</v>
      </c>
      <c r="H9" s="1"/>
      <c r="I9" s="1"/>
      <c r="J9" s="1"/>
      <c r="K9" s="1"/>
      <c r="L9" s="1"/>
      <c r="M9" s="1"/>
      <c r="N9" s="1"/>
      <c r="O9" s="1"/>
    </row>
    <row r="10" spans="1:15" x14ac:dyDescent="0.25">
      <c r="A10" s="5"/>
      <c r="B10" s="5"/>
      <c r="C10" s="43" t="s">
        <v>6</v>
      </c>
      <c r="D10" s="2">
        <v>1046.2464</v>
      </c>
      <c r="E10" s="2">
        <v>1032.1919999999998</v>
      </c>
      <c r="F10" s="2">
        <v>1048.8441599999999</v>
      </c>
      <c r="G10" s="2">
        <v>1058.0015999999998</v>
      </c>
      <c r="H10" s="1"/>
      <c r="I10" s="1"/>
      <c r="J10" s="1"/>
      <c r="K10" s="1"/>
      <c r="L10" s="1"/>
      <c r="M10" s="1"/>
      <c r="N10" s="1"/>
      <c r="O10" s="1"/>
    </row>
    <row r="11" spans="1:15" x14ac:dyDescent="0.25">
      <c r="A11" s="5"/>
      <c r="B11" s="1" t="s">
        <v>9</v>
      </c>
      <c r="C11" s="43" t="s">
        <v>10</v>
      </c>
      <c r="D11" s="1">
        <f t="shared" ref="D11:G11" ca="1" si="2">RANDBETWEEN(640,690)/1000</f>
        <v>0.64800000000000002</v>
      </c>
      <c r="E11" s="1">
        <f t="shared" ca="1" si="2"/>
        <v>0.67800000000000005</v>
      </c>
      <c r="F11" s="1">
        <f t="shared" ca="1" si="2"/>
        <v>0.67100000000000004</v>
      </c>
      <c r="G11" s="1">
        <f t="shared" ca="1" si="2"/>
        <v>0.68899999999999995</v>
      </c>
      <c r="H11" s="1"/>
      <c r="I11" s="1"/>
      <c r="J11" s="1"/>
      <c r="K11" s="1"/>
      <c r="L11" s="1"/>
      <c r="M11" s="1"/>
      <c r="N11" s="1"/>
      <c r="O11" s="1"/>
    </row>
    <row r="12" spans="1:15" x14ac:dyDescent="0.25">
      <c r="A12" s="1"/>
      <c r="B12" s="1"/>
      <c r="C12" s="43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25">
      <c r="A13" s="1"/>
      <c r="B13" s="1"/>
      <c r="C13" s="43"/>
      <c r="D13" s="30" t="s">
        <v>25</v>
      </c>
      <c r="E13" s="30"/>
      <c r="F13" s="30"/>
      <c r="G13" s="30"/>
      <c r="H13" s="27" t="s">
        <v>26</v>
      </c>
      <c r="I13" s="27"/>
      <c r="J13" s="27"/>
      <c r="K13" s="27"/>
      <c r="L13" s="1"/>
      <c r="M13" s="1"/>
      <c r="N13" s="1"/>
      <c r="O13" s="1"/>
    </row>
    <row r="14" spans="1:15" x14ac:dyDescent="0.25">
      <c r="A14" s="1"/>
      <c r="B14" s="4"/>
      <c r="C14" s="6" t="s">
        <v>4</v>
      </c>
      <c r="D14" s="28">
        <v>2025</v>
      </c>
      <c r="E14" s="28">
        <v>2025</v>
      </c>
      <c r="F14" s="28">
        <v>2025</v>
      </c>
      <c r="G14" s="32">
        <v>2025</v>
      </c>
      <c r="H14" s="15">
        <v>2026</v>
      </c>
      <c r="I14" s="15">
        <v>2026</v>
      </c>
      <c r="J14" s="15">
        <v>2026</v>
      </c>
      <c r="K14" s="38">
        <v>2026</v>
      </c>
      <c r="L14" s="1"/>
      <c r="M14" s="1"/>
      <c r="N14" s="1"/>
      <c r="O14" s="1"/>
    </row>
    <row r="15" spans="1:15" x14ac:dyDescent="0.25">
      <c r="A15" s="1"/>
      <c r="B15" s="4"/>
      <c r="C15" s="6" t="s">
        <v>27</v>
      </c>
      <c r="D15" s="29" t="s">
        <v>0</v>
      </c>
      <c r="E15" s="29" t="s">
        <v>1</v>
      </c>
      <c r="F15" s="29" t="s">
        <v>2</v>
      </c>
      <c r="G15" s="33" t="s">
        <v>3</v>
      </c>
      <c r="H15" s="16" t="s">
        <v>0</v>
      </c>
      <c r="I15" s="16" t="s">
        <v>1</v>
      </c>
      <c r="J15" s="16" t="s">
        <v>2</v>
      </c>
      <c r="K15" s="39" t="s">
        <v>3</v>
      </c>
      <c r="L15" s="1"/>
      <c r="M15" s="1"/>
      <c r="N15" s="1"/>
      <c r="O15" s="1"/>
    </row>
    <row r="16" spans="1:15" ht="30" x14ac:dyDescent="0.25">
      <c r="A16" s="5" t="s">
        <v>24</v>
      </c>
      <c r="B16" s="7" t="s">
        <v>7</v>
      </c>
      <c r="C16" s="44" t="s">
        <v>20</v>
      </c>
      <c r="D16" s="13">
        <v>574</v>
      </c>
      <c r="E16" s="13">
        <v>578</v>
      </c>
      <c r="F16" s="13">
        <v>621</v>
      </c>
      <c r="G16" s="34">
        <v>859</v>
      </c>
      <c r="H16" s="13">
        <f>D16*($I$30+1)</f>
        <v>662.89651323255453</v>
      </c>
      <c r="I16" s="13">
        <f>E16*($I$30+1)</f>
        <v>667.51600112964547</v>
      </c>
      <c r="J16" s="13">
        <f>F16*($I$30+1)</f>
        <v>717.17549602337351</v>
      </c>
      <c r="K16" s="9">
        <f>G16*($I$30+1)</f>
        <v>992.03502590028631</v>
      </c>
      <c r="L16" s="1"/>
      <c r="M16" s="1"/>
      <c r="N16" s="1"/>
      <c r="O16" s="1"/>
    </row>
    <row r="17" spans="1:15" ht="31.5" customHeight="1" x14ac:dyDescent="0.25">
      <c r="A17" s="5"/>
      <c r="B17" s="10"/>
      <c r="C17" s="45" t="s">
        <v>19</v>
      </c>
      <c r="D17" s="14">
        <v>337</v>
      </c>
      <c r="E17" s="14">
        <v>323</v>
      </c>
      <c r="F17" s="14">
        <v>354</v>
      </c>
      <c r="G17" s="35">
        <v>501</v>
      </c>
      <c r="H17" s="17">
        <f>D17*($I$31+1)</f>
        <v>389.76144373895852</v>
      </c>
      <c r="I17" s="17">
        <f>E17*($I$31+1)</f>
        <v>373.56957367265164</v>
      </c>
      <c r="J17" s="17">
        <f>F17*($I$31+1)</f>
        <v>409.42300024804547</v>
      </c>
      <c r="K17" s="12">
        <f>G17*($I$31+1)</f>
        <v>579.43763594426775</v>
      </c>
      <c r="L17" s="1"/>
      <c r="M17" s="1"/>
      <c r="N17" s="1"/>
      <c r="O17" s="1"/>
    </row>
    <row r="18" spans="1:15" ht="30" x14ac:dyDescent="0.25">
      <c r="A18" s="5"/>
      <c r="B18" s="7" t="s">
        <v>8</v>
      </c>
      <c r="C18" s="44" t="s">
        <v>20</v>
      </c>
      <c r="D18" s="24">
        <v>949</v>
      </c>
      <c r="E18" s="24">
        <v>954</v>
      </c>
      <c r="F18" s="24">
        <v>932</v>
      </c>
      <c r="G18" s="36">
        <v>947</v>
      </c>
      <c r="H18" s="24">
        <f>D18*($I$32+1)</f>
        <v>948.46296971114771</v>
      </c>
      <c r="I18" s="24">
        <f t="shared" ref="I18:K18" si="3">E18*($I$32+1)</f>
        <v>953.46014025757108</v>
      </c>
      <c r="J18" s="24">
        <f t="shared" si="3"/>
        <v>931.47258985330848</v>
      </c>
      <c r="K18" s="40">
        <f t="shared" si="3"/>
        <v>946.46410149257838</v>
      </c>
      <c r="L18" s="1"/>
      <c r="M18" s="1"/>
      <c r="N18" s="1"/>
      <c r="O18" s="1"/>
    </row>
    <row r="19" spans="1:15" ht="32.25" customHeight="1" x14ac:dyDescent="0.25">
      <c r="A19" s="5"/>
      <c r="B19" s="10"/>
      <c r="C19" s="45" t="s">
        <v>19</v>
      </c>
      <c r="D19" s="25">
        <v>1051</v>
      </c>
      <c r="E19" s="25">
        <v>1040</v>
      </c>
      <c r="F19" s="25">
        <v>1065</v>
      </c>
      <c r="G19" s="31">
        <v>1074</v>
      </c>
      <c r="H19" s="25">
        <f>D19*($I$33+1)</f>
        <v>1058.7153710725895</v>
      </c>
      <c r="I19" s="25">
        <f t="shared" ref="I19:K19" si="4">E19*($I$33+1)</f>
        <v>1047.6346202811542</v>
      </c>
      <c r="J19" s="25">
        <f t="shared" si="4"/>
        <v>1072.8181448071434</v>
      </c>
      <c r="K19" s="41">
        <f t="shared" si="4"/>
        <v>1081.8842136364995</v>
      </c>
      <c r="L19" s="1"/>
      <c r="M19" s="1"/>
      <c r="N19" s="1"/>
      <c r="O19" s="1"/>
    </row>
    <row r="20" spans="1:15" ht="30" x14ac:dyDescent="0.25">
      <c r="A20" s="5"/>
      <c r="B20" s="7" t="s">
        <v>11</v>
      </c>
      <c r="C20" s="44" t="s">
        <v>20</v>
      </c>
      <c r="D20" s="24">
        <v>575</v>
      </c>
      <c r="E20" s="24">
        <v>605</v>
      </c>
      <c r="F20" s="24">
        <v>562</v>
      </c>
      <c r="G20" s="36">
        <v>614</v>
      </c>
      <c r="H20" s="24">
        <f>D20*($I$34+1)</f>
        <v>589.11169279334911</v>
      </c>
      <c r="I20" s="24">
        <f t="shared" ref="I20:K20" si="5">E20*($I$34+1)</f>
        <v>619.84795502604561</v>
      </c>
      <c r="J20" s="24">
        <f t="shared" si="5"/>
        <v>575.79264582584733</v>
      </c>
      <c r="K20" s="40">
        <f t="shared" si="5"/>
        <v>629.06883369585455</v>
      </c>
      <c r="L20" s="1"/>
      <c r="M20" s="1"/>
      <c r="N20" s="1"/>
      <c r="O20" s="1"/>
    </row>
    <row r="21" spans="1:15" ht="36" customHeight="1" x14ac:dyDescent="0.25">
      <c r="A21" s="5"/>
      <c r="B21" s="10"/>
      <c r="C21" s="45" t="s">
        <v>19</v>
      </c>
      <c r="D21" s="25">
        <v>716</v>
      </c>
      <c r="E21" s="25">
        <v>689</v>
      </c>
      <c r="F21" s="25">
        <v>688</v>
      </c>
      <c r="G21" s="31">
        <v>713</v>
      </c>
      <c r="H21" s="31">
        <f>D21*($I$35+1)</f>
        <v>715.32608487753282</v>
      </c>
      <c r="I21" s="31">
        <f t="shared" ref="I21:K21" si="6">E21*($I$35+1)</f>
        <v>688.35149787796115</v>
      </c>
      <c r="J21" s="31">
        <f t="shared" si="6"/>
        <v>687.35243910019915</v>
      </c>
      <c r="K21" s="25">
        <f t="shared" si="6"/>
        <v>712.32890854424716</v>
      </c>
      <c r="L21" s="1"/>
      <c r="M21" s="1"/>
      <c r="N21" s="1"/>
      <c r="O21" s="1"/>
    </row>
    <row r="22" spans="1:15" ht="30" x14ac:dyDescent="0.25">
      <c r="A22" s="5" t="s">
        <v>23</v>
      </c>
      <c r="B22" s="7" t="s">
        <v>12</v>
      </c>
      <c r="C22" s="44" t="s">
        <v>20</v>
      </c>
      <c r="D22" s="26">
        <f t="shared" ref="D22:K23" si="7">D18*D16</f>
        <v>544726</v>
      </c>
      <c r="E22" s="26">
        <f t="shared" si="7"/>
        <v>551412</v>
      </c>
      <c r="F22" s="26">
        <f t="shared" si="7"/>
        <v>578772</v>
      </c>
      <c r="G22" s="37">
        <f t="shared" si="7"/>
        <v>813473</v>
      </c>
      <c r="H22" s="26">
        <f t="shared" si="7"/>
        <v>628732.79555171379</v>
      </c>
      <c r="I22" s="26">
        <f t="shared" si="7"/>
        <v>636449.90006124473</v>
      </c>
      <c r="J22" s="26">
        <f t="shared" si="7"/>
        <v>668029.31666022283</v>
      </c>
      <c r="K22" s="42">
        <f t="shared" si="7"/>
        <v>938925.53943788121</v>
      </c>
      <c r="L22" s="1"/>
      <c r="M22" s="1"/>
      <c r="N22" s="1"/>
      <c r="O22" s="1"/>
    </row>
    <row r="23" spans="1:15" ht="35.25" customHeight="1" x14ac:dyDescent="0.25">
      <c r="A23" s="5"/>
      <c r="B23" s="10"/>
      <c r="C23" s="45" t="s">
        <v>19</v>
      </c>
      <c r="D23" s="25">
        <f t="shared" si="7"/>
        <v>354187</v>
      </c>
      <c r="E23" s="25">
        <f t="shared" si="7"/>
        <v>335920</v>
      </c>
      <c r="F23" s="25">
        <f t="shared" si="7"/>
        <v>377010</v>
      </c>
      <c r="G23" s="31">
        <f t="shared" si="7"/>
        <v>538074</v>
      </c>
      <c r="H23" s="25">
        <f t="shared" si="7"/>
        <v>412646.43153787969</v>
      </c>
      <c r="I23" s="25">
        <f t="shared" si="7"/>
        <v>391364.41846314108</v>
      </c>
      <c r="J23" s="25">
        <f t="shared" si="7"/>
        <v>439236.42356748274</v>
      </c>
      <c r="K23" s="41">
        <f t="shared" si="7"/>
        <v>626884.43111495639</v>
      </c>
      <c r="L23" s="1"/>
      <c r="M23" s="1"/>
      <c r="N23" s="1"/>
      <c r="O23" s="1"/>
    </row>
    <row r="24" spans="1:15" ht="30" x14ac:dyDescent="0.25">
      <c r="A24" s="5"/>
      <c r="B24" s="7" t="s">
        <v>21</v>
      </c>
      <c r="C24" s="44" t="s">
        <v>20</v>
      </c>
      <c r="D24" s="24">
        <f t="shared" ref="D24:K25" si="8">D20*D16</f>
        <v>330050</v>
      </c>
      <c r="E24" s="24">
        <f t="shared" si="8"/>
        <v>349690</v>
      </c>
      <c r="F24" s="24">
        <f t="shared" si="8"/>
        <v>349002</v>
      </c>
      <c r="G24" s="36">
        <f t="shared" si="8"/>
        <v>527426</v>
      </c>
      <c r="H24" s="24">
        <f t="shared" si="8"/>
        <v>390520.08705723897</v>
      </c>
      <c r="I24" s="24">
        <f t="shared" si="8"/>
        <v>413758.42824737431</v>
      </c>
      <c r="J24" s="24">
        <f t="shared" si="8"/>
        <v>412944.3763767627</v>
      </c>
      <c r="K24" s="40">
        <f t="shared" si="8"/>
        <v>624058.31672852999</v>
      </c>
      <c r="L24" s="1"/>
      <c r="M24" s="1"/>
      <c r="N24" s="1"/>
      <c r="O24" s="1"/>
    </row>
    <row r="25" spans="1:15" ht="31.5" customHeight="1" x14ac:dyDescent="0.25">
      <c r="A25" s="5"/>
      <c r="B25" s="10"/>
      <c r="C25" s="45" t="s">
        <v>19</v>
      </c>
      <c r="D25" s="25">
        <f t="shared" si="8"/>
        <v>241292</v>
      </c>
      <c r="E25" s="25">
        <f t="shared" si="8"/>
        <v>222547</v>
      </c>
      <c r="F25" s="25">
        <f t="shared" si="8"/>
        <v>243552</v>
      </c>
      <c r="G25" s="31">
        <f t="shared" si="8"/>
        <v>357213</v>
      </c>
      <c r="H25" s="25">
        <f t="shared" si="8"/>
        <v>278806.527586004</v>
      </c>
      <c r="I25" s="25">
        <f t="shared" si="8"/>
        <v>257147.17559920112</v>
      </c>
      <c r="J25" s="25">
        <f t="shared" si="8"/>
        <v>281417.89784421551</v>
      </c>
      <c r="K25" s="41">
        <f t="shared" si="8"/>
        <v>412750.17878163909</v>
      </c>
      <c r="L25" s="1"/>
      <c r="M25" s="1"/>
      <c r="N25" s="1"/>
      <c r="O25" s="1"/>
    </row>
    <row r="26" spans="1:15" ht="30" x14ac:dyDescent="0.25">
      <c r="A26" s="5"/>
      <c r="B26" s="7" t="s">
        <v>13</v>
      </c>
      <c r="C26" s="44" t="s">
        <v>20</v>
      </c>
      <c r="D26" s="24">
        <f t="shared" ref="D26:K27" si="9">D22-D24</f>
        <v>214676</v>
      </c>
      <c r="E26" s="24">
        <f t="shared" si="9"/>
        <v>201722</v>
      </c>
      <c r="F26" s="24">
        <f t="shared" si="9"/>
        <v>229770</v>
      </c>
      <c r="G26" s="36">
        <f t="shared" si="9"/>
        <v>286047</v>
      </c>
      <c r="H26" s="24">
        <f t="shared" si="9"/>
        <v>238212.70849447482</v>
      </c>
      <c r="I26" s="24">
        <f t="shared" si="9"/>
        <v>222691.47181387042</v>
      </c>
      <c r="J26" s="24">
        <f t="shared" si="9"/>
        <v>255084.94028346014</v>
      </c>
      <c r="K26" s="40">
        <f t="shared" si="9"/>
        <v>314867.22270935122</v>
      </c>
      <c r="L26" s="1"/>
      <c r="M26" s="1"/>
      <c r="N26" s="1"/>
      <c r="O26" s="1"/>
    </row>
    <row r="27" spans="1:15" ht="28.5" customHeight="1" x14ac:dyDescent="0.25">
      <c r="A27" s="5"/>
      <c r="B27" s="10"/>
      <c r="C27" s="45" t="s">
        <v>19</v>
      </c>
      <c r="D27" s="25">
        <f t="shared" si="9"/>
        <v>112895</v>
      </c>
      <c r="E27" s="25">
        <f t="shared" si="9"/>
        <v>113373</v>
      </c>
      <c r="F27" s="25">
        <f t="shared" si="9"/>
        <v>133458</v>
      </c>
      <c r="G27" s="31">
        <f t="shared" si="9"/>
        <v>180861</v>
      </c>
      <c r="H27" s="25">
        <f t="shared" si="9"/>
        <v>133839.90395187569</v>
      </c>
      <c r="I27" s="25">
        <f t="shared" si="9"/>
        <v>134217.24286393996</v>
      </c>
      <c r="J27" s="25">
        <f t="shared" si="9"/>
        <v>157818.52572326723</v>
      </c>
      <c r="K27" s="41">
        <f t="shared" si="9"/>
        <v>214134.2523333173</v>
      </c>
      <c r="L27" s="1"/>
      <c r="M27" s="1"/>
      <c r="N27" s="1"/>
      <c r="O27" s="1"/>
    </row>
    <row r="28" spans="1:15" x14ac:dyDescent="0.25">
      <c r="A28" s="1"/>
      <c r="B28" s="1"/>
      <c r="C28" s="4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A29" s="1"/>
      <c r="B29" s="6"/>
      <c r="C29" s="6"/>
      <c r="D29" s="6"/>
      <c r="E29" s="6"/>
      <c r="F29" s="6"/>
      <c r="G29" s="6"/>
      <c r="H29" s="6" t="s">
        <v>18</v>
      </c>
      <c r="I29" s="6" t="s">
        <v>17</v>
      </c>
      <c r="J29" s="1"/>
      <c r="K29" s="1"/>
      <c r="L29" s="1"/>
      <c r="M29" s="1"/>
      <c r="N29" s="1"/>
      <c r="O29" s="1"/>
    </row>
    <row r="30" spans="1:15" ht="36" customHeight="1" x14ac:dyDescent="0.25">
      <c r="A30" s="5" t="s">
        <v>22</v>
      </c>
      <c r="B30" s="18" t="s">
        <v>14</v>
      </c>
      <c r="C30" s="44" t="s">
        <v>20</v>
      </c>
      <c r="D30" s="19"/>
      <c r="E30" s="19">
        <f>((E16/D16)-1)</f>
        <v>6.9686411149825211E-3</v>
      </c>
      <c r="F30" s="19">
        <f>((F16/E16)-1)</f>
        <v>7.4394463667819988E-2</v>
      </c>
      <c r="G30" s="19">
        <f>((G16/F16)-1)</f>
        <v>0.38325281803542666</v>
      </c>
      <c r="H30" s="19">
        <f t="shared" ref="H30:H35" si="10">SUM(E30:G30)</f>
        <v>0.46461592281822917</v>
      </c>
      <c r="I30" s="20">
        <f t="shared" ref="I30:I35" si="11">AVERAGE(E30:G30)</f>
        <v>0.15487197427274305</v>
      </c>
      <c r="J30" s="1"/>
      <c r="K30" s="1"/>
      <c r="L30" s="1"/>
      <c r="M30" s="1"/>
      <c r="N30" s="1"/>
      <c r="O30" s="1"/>
    </row>
    <row r="31" spans="1:15" ht="28.5" customHeight="1" x14ac:dyDescent="0.25">
      <c r="A31" s="5"/>
      <c r="B31" s="21"/>
      <c r="C31" s="45" t="s">
        <v>19</v>
      </c>
      <c r="D31" s="11"/>
      <c r="E31" s="22">
        <f>((E17/D17)-1)</f>
        <v>-4.1543026706231445E-2</v>
      </c>
      <c r="F31" s="22">
        <f>((F17/E17)-1)</f>
        <v>9.5975232198142413E-2</v>
      </c>
      <c r="G31" s="22">
        <f>((G17/F17)-1)</f>
        <v>0.4152542372881356</v>
      </c>
      <c r="H31" s="22">
        <f t="shared" si="10"/>
        <v>0.46968644278004656</v>
      </c>
      <c r="I31" s="23">
        <f t="shared" si="11"/>
        <v>0.15656214759334885</v>
      </c>
      <c r="J31" s="1"/>
      <c r="K31" s="1"/>
      <c r="L31" s="1"/>
      <c r="M31" s="1"/>
      <c r="N31" s="1"/>
      <c r="O31" s="1"/>
    </row>
    <row r="32" spans="1:15" ht="28.5" customHeight="1" x14ac:dyDescent="0.25">
      <c r="A32" s="5"/>
      <c r="B32" s="18" t="s">
        <v>15</v>
      </c>
      <c r="C32" s="44" t="s">
        <v>20</v>
      </c>
      <c r="D32" s="8"/>
      <c r="E32" s="19">
        <f>((E18/D18)-1)</f>
        <v>5.2687038988408208E-3</v>
      </c>
      <c r="F32" s="19">
        <f>((F18/E18)-1)</f>
        <v>-2.3060796645702264E-2</v>
      </c>
      <c r="G32" s="19">
        <f>((G18/F18)-1)</f>
        <v>1.6094420600858417E-2</v>
      </c>
      <c r="H32" s="19">
        <f t="shared" si="10"/>
        <v>-1.6976721460030264E-3</v>
      </c>
      <c r="I32" s="20">
        <f t="shared" si="11"/>
        <v>-5.658907153343421E-4</v>
      </c>
      <c r="J32" s="1"/>
      <c r="K32" s="1"/>
      <c r="L32" s="1"/>
      <c r="M32" s="1"/>
      <c r="N32" s="1"/>
      <c r="O32" s="1"/>
    </row>
    <row r="33" spans="1:15" ht="30" customHeight="1" x14ac:dyDescent="0.25">
      <c r="A33" s="5"/>
      <c r="B33" s="21"/>
      <c r="C33" s="46" t="s">
        <v>19</v>
      </c>
      <c r="D33" s="22"/>
      <c r="E33" s="22">
        <f>((E19/D19)-1)</f>
        <v>-1.0466222645099887E-2</v>
      </c>
      <c r="F33" s="22">
        <f>((F19/E19)-1)</f>
        <v>2.4038461538461453E-2</v>
      </c>
      <c r="G33" s="22">
        <f>((G19/F19)-1)</f>
        <v>8.4507042253521014E-3</v>
      </c>
      <c r="H33" s="22">
        <f t="shared" si="10"/>
        <v>2.2022943118713667E-2</v>
      </c>
      <c r="I33" s="23">
        <f t="shared" si="11"/>
        <v>7.3409810395712221E-3</v>
      </c>
      <c r="J33" s="1"/>
      <c r="K33" s="1"/>
      <c r="L33" s="1"/>
      <c r="M33" s="1"/>
      <c r="N33" s="1"/>
      <c r="O33" s="1"/>
    </row>
    <row r="34" spans="1:15" ht="30" customHeight="1" x14ac:dyDescent="0.25">
      <c r="A34" s="5"/>
      <c r="B34" s="18" t="s">
        <v>16</v>
      </c>
      <c r="C34" s="44" t="s">
        <v>20</v>
      </c>
      <c r="D34" s="19"/>
      <c r="E34" s="19">
        <f>((E20/D20)-1)</f>
        <v>5.2173913043478182E-2</v>
      </c>
      <c r="F34" s="19">
        <f>((F20/E20)-1)</f>
        <v>-7.1074380165289219E-2</v>
      </c>
      <c r="G34" s="19">
        <f>((G20/F20)-1)</f>
        <v>9.2526690391458999E-2</v>
      </c>
      <c r="H34" s="19">
        <f t="shared" si="10"/>
        <v>7.3626223269647961E-2</v>
      </c>
      <c r="I34" s="20">
        <f t="shared" si="11"/>
        <v>2.4542074423215987E-2</v>
      </c>
      <c r="J34" s="1"/>
      <c r="K34" s="1"/>
      <c r="L34" s="1"/>
      <c r="M34" s="1"/>
      <c r="N34" s="1"/>
      <c r="O34" s="1"/>
    </row>
    <row r="35" spans="1:15" ht="28.5" customHeight="1" x14ac:dyDescent="0.25">
      <c r="A35" s="5"/>
      <c r="B35" s="21"/>
      <c r="C35" s="45" t="s">
        <v>19</v>
      </c>
      <c r="D35" s="11"/>
      <c r="E35" s="22">
        <f>((E21/D21)-1)</f>
        <v>-3.7709497206703912E-2</v>
      </c>
      <c r="F35" s="22">
        <f>((F21/E21)-1)</f>
        <v>-1.4513788098693414E-3</v>
      </c>
      <c r="G35" s="22">
        <f>((G21/F21)-1)</f>
        <v>3.6337209302325535E-2</v>
      </c>
      <c r="H35" s="22">
        <f t="shared" si="10"/>
        <v>-2.823666714247719E-3</v>
      </c>
      <c r="I35" s="23">
        <f t="shared" si="11"/>
        <v>-9.4122223808257299E-4</v>
      </c>
      <c r="J35" s="1"/>
      <c r="K35" s="1"/>
      <c r="L35" s="1"/>
      <c r="M35" s="1"/>
      <c r="N35" s="1"/>
      <c r="O35" s="1"/>
    </row>
    <row r="36" spans="1:15" x14ac:dyDescent="0.25">
      <c r="A36" s="1"/>
      <c r="B36" s="1"/>
      <c r="C36" s="43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</sheetData>
  <mergeCells count="11">
    <mergeCell ref="H13:K13"/>
    <mergeCell ref="D13:G13"/>
    <mergeCell ref="A2:A6"/>
    <mergeCell ref="B2:B3"/>
    <mergeCell ref="B4:B5"/>
    <mergeCell ref="A7:A11"/>
    <mergeCell ref="B7:B8"/>
    <mergeCell ref="B9:B10"/>
    <mergeCell ref="A30:A35"/>
    <mergeCell ref="A16:A21"/>
    <mergeCell ref="A22:A27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935750-240b-48e4-a615-66942a738439}" enabled="1" method="Standard" siteId="{ce849bab-cc1c-465b-b62e-18f07c9ac19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PnL FORECAST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Norouzi Ali, FF-42</dc:creator>
  <cp:lastModifiedBy>elnaz hoseinini</cp:lastModifiedBy>
  <dcterms:created xsi:type="dcterms:W3CDTF">2015-06-05T18:19:34Z</dcterms:created>
  <dcterms:modified xsi:type="dcterms:W3CDTF">2026-01-28T13:57:49Z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{A9186786-A66A-43B7-B953-D69FBE932B3B}</vt:lpwstr>
  </property>
</Properties>
</file>