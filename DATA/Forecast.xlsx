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aster\job\Data Analyst\p&amp;l\P-L-forecast-Dashboard\DATA\"/>
    </mc:Choice>
  </mc:AlternateContent>
  <xr:revisionPtr revIDLastSave="0" documentId="13_ncr:1_{E195D22E-60F9-49F9-B2F0-F1A66EEA175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recast" sheetId="3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3" l="1"/>
  <c r="F18" i="3"/>
  <c r="E18" i="3"/>
  <c r="D18" i="3"/>
  <c r="G16" i="3"/>
  <c r="F16" i="3"/>
  <c r="E16" i="3"/>
  <c r="D16" i="3"/>
  <c r="G15" i="3"/>
  <c r="F15" i="3"/>
  <c r="E15" i="3"/>
  <c r="D15" i="3"/>
  <c r="G11" i="3"/>
  <c r="F11" i="3"/>
  <c r="E11" i="3"/>
  <c r="D11" i="3"/>
  <c r="G6" i="3"/>
  <c r="F6" i="3"/>
  <c r="E6" i="3"/>
  <c r="D6" i="3"/>
  <c r="G5" i="3"/>
  <c r="G17" i="3" s="1"/>
  <c r="F5" i="3"/>
  <c r="F17" i="3" s="1"/>
  <c r="E5" i="3"/>
  <c r="E17" i="3" s="1"/>
  <c r="D5" i="3"/>
  <c r="D17" i="3" s="1"/>
  <c r="D21" i="3" l="1"/>
  <c r="G19" i="3"/>
  <c r="G23" i="3" s="1"/>
  <c r="G20" i="3"/>
  <c r="G24" i="3" s="1"/>
  <c r="E19" i="3"/>
  <c r="E23" i="3" s="1"/>
  <c r="E31" i="3"/>
  <c r="E22" i="3"/>
  <c r="F31" i="3"/>
  <c r="G31" i="3"/>
  <c r="F22" i="3"/>
  <c r="F20" i="3"/>
  <c r="D19" i="3"/>
  <c r="G30" i="3"/>
  <c r="F33" i="3"/>
  <c r="F30" i="3"/>
  <c r="G22" i="3"/>
  <c r="E33" i="3"/>
  <c r="F19" i="3"/>
  <c r="F32" i="3"/>
  <c r="F21" i="3"/>
  <c r="E21" i="3"/>
  <c r="G21" i="3"/>
  <c r="G32" i="3"/>
  <c r="E20" i="3"/>
  <c r="E30" i="3"/>
  <c r="D20" i="3"/>
  <c r="D22" i="3"/>
  <c r="E32" i="3"/>
  <c r="G33" i="3"/>
  <c r="E34" i="3" l="1"/>
  <c r="I31" i="3"/>
  <c r="H16" i="3" s="1"/>
  <c r="G35" i="3"/>
  <c r="G26" i="3"/>
  <c r="G25" i="3"/>
  <c r="H31" i="3"/>
  <c r="D23" i="3"/>
  <c r="D25" i="3" s="1"/>
  <c r="F35" i="3"/>
  <c r="F24" i="3"/>
  <c r="F26" i="3" s="1"/>
  <c r="E25" i="3"/>
  <c r="F23" i="3"/>
  <c r="F25" i="3" s="1"/>
  <c r="F34" i="3"/>
  <c r="G34" i="3"/>
  <c r="I33" i="3"/>
  <c r="H33" i="3"/>
  <c r="I32" i="3"/>
  <c r="H32" i="3"/>
  <c r="I30" i="3"/>
  <c r="H30" i="3"/>
  <c r="D24" i="3"/>
  <c r="D26" i="3" s="1"/>
  <c r="E35" i="3"/>
  <c r="E24" i="3"/>
  <c r="E26" i="3" s="1"/>
  <c r="I16" i="3" l="1"/>
  <c r="K16" i="3"/>
  <c r="G27" i="3"/>
  <c r="D27" i="3"/>
  <c r="J16" i="3"/>
  <c r="E27" i="3"/>
  <c r="F27" i="3"/>
  <c r="H18" i="3"/>
  <c r="H22" i="3" s="1"/>
  <c r="K18" i="3"/>
  <c r="J18" i="3"/>
  <c r="I18" i="3"/>
  <c r="I22" i="3" s="1"/>
  <c r="H34" i="3"/>
  <c r="I34" i="3"/>
  <c r="I35" i="3"/>
  <c r="H35" i="3"/>
  <c r="J17" i="3"/>
  <c r="I17" i="3"/>
  <c r="H17" i="3"/>
  <c r="K17" i="3"/>
  <c r="H15" i="3"/>
  <c r="K15" i="3"/>
  <c r="J15" i="3"/>
  <c r="I15" i="3"/>
  <c r="K22" i="3" l="1"/>
  <c r="J22" i="3"/>
  <c r="K21" i="3"/>
  <c r="I21" i="3"/>
  <c r="J21" i="3"/>
  <c r="J20" i="3"/>
  <c r="J24" i="3" s="1"/>
  <c r="I20" i="3"/>
  <c r="I24" i="3" s="1"/>
  <c r="I26" i="3" s="1"/>
  <c r="H20" i="3"/>
  <c r="H24" i="3" s="1"/>
  <c r="H26" i="3" s="1"/>
  <c r="K20" i="3"/>
  <c r="K24" i="3" s="1"/>
  <c r="K19" i="3"/>
  <c r="K23" i="3" s="1"/>
  <c r="J19" i="3"/>
  <c r="J23" i="3" s="1"/>
  <c r="H19" i="3"/>
  <c r="H23" i="3" s="1"/>
  <c r="I19" i="3"/>
  <c r="I23" i="3" s="1"/>
  <c r="H21" i="3"/>
  <c r="J26" i="3" l="1"/>
  <c r="K26" i="3"/>
  <c r="K25" i="3"/>
  <c r="I25" i="3"/>
  <c r="I27" i="3" s="1"/>
  <c r="H25" i="3"/>
  <c r="H27" i="3" s="1"/>
  <c r="J25" i="3"/>
  <c r="K27" i="3" l="1"/>
  <c r="J27" i="3"/>
</calcChain>
</file>

<file path=xl/sharedStrings.xml><?xml version="1.0" encoding="utf-8"?>
<sst xmlns="http://schemas.openxmlformats.org/spreadsheetml/2006/main" count="62" uniqueCount="30">
  <si>
    <t>Q1</t>
  </si>
  <si>
    <t>Q2</t>
  </si>
  <si>
    <t>Q3</t>
  </si>
  <si>
    <t>Q4</t>
  </si>
  <si>
    <t>Season</t>
  </si>
  <si>
    <t>Year</t>
  </si>
  <si>
    <t>Product 1</t>
  </si>
  <si>
    <t>Product 2</t>
  </si>
  <si>
    <t>Top</t>
  </si>
  <si>
    <t>Bottom</t>
  </si>
  <si>
    <t>Quantity</t>
  </si>
  <si>
    <t>Price</t>
  </si>
  <si>
    <t>Cost</t>
  </si>
  <si>
    <t>Ratio</t>
  </si>
  <si>
    <t>cost</t>
  </si>
  <si>
    <t>Revenue</t>
  </si>
  <si>
    <t>overall cost</t>
  </si>
  <si>
    <t>Gross profit</t>
  </si>
  <si>
    <t>sum of gross profit</t>
  </si>
  <si>
    <t>per unit</t>
  </si>
  <si>
    <t>over all</t>
  </si>
  <si>
    <t xml:space="preserve"> inflation</t>
  </si>
  <si>
    <t>Quatitiy growth</t>
  </si>
  <si>
    <t>Price growth</t>
  </si>
  <si>
    <t>Cost growth</t>
  </si>
  <si>
    <t>Average</t>
  </si>
  <si>
    <t>Sum</t>
  </si>
  <si>
    <t>Forcasting</t>
  </si>
  <si>
    <t>syngo Virtual Cockpit</t>
  </si>
  <si>
    <t>LUMINOS Lotus Max 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</si>
</sst>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38" fontId="0" fillId="3" borderId="0" xfId="0" applyNumberFormat="1" applyFill="1" applyAlignment="1">
      <alignment horizontal="center" vertical="center"/>
    </xf>
    <xf numFmtId="38" fontId="0" fillId="2" borderId="0" xfId="0" applyNumberFormat="1" applyFill="1" applyAlignment="1">
      <alignment horizontal="center" vertical="center"/>
    </xf>
    <xf numFmtId="38" fontId="0" fillId="4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forecast!$C$27</c:f>
              <c:strCache>
                <c:ptCount val="1"/>
                <c:pt idx="0">
                  <c:v>sum of gross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B0-46C8-B4EC-72EEDEDB12B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B0-46C8-B4EC-72EEDEDB12B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B0-46C8-B4EC-72EEDEDB12B4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B0-46C8-B4EC-72EEDEDB12B4}"/>
              </c:ext>
            </c:extLst>
          </c:dPt>
          <c:cat>
            <c:multiLvlStrRef>
              <c:f>forecast!$D$13:$K$14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2026</c:v>
                  </c:pt>
                  <c:pt idx="6">
                    <c:v>2026</c:v>
                  </c:pt>
                  <c:pt idx="7">
                    <c:v>2026</c:v>
                  </c:pt>
                </c:lvl>
              </c:multiLvlStrCache>
            </c:multiLvlStrRef>
          </c:cat>
          <c:val>
            <c:numRef>
              <c:f>forecast!$D$27:$K$27</c:f>
              <c:numCache>
                <c:formatCode>#,##0_);[Red]\(#,##0\)</c:formatCode>
                <c:ptCount val="8"/>
                <c:pt idx="0">
                  <c:v>319325.99400000001</c:v>
                </c:pt>
                <c:pt idx="1">
                  <c:v>326476.07999999996</c:v>
                </c:pt>
                <c:pt idx="2">
                  <c:v>335705.625</c:v>
                </c:pt>
                <c:pt idx="3">
                  <c:v>477971.27999999997</c:v>
                </c:pt>
                <c:pt idx="4">
                  <c:v>370047.60384262202</c:v>
                </c:pt>
                <c:pt idx="5">
                  <c:v>377743.77387432125</c:v>
                </c:pt>
                <c:pt idx="6">
                  <c:v>388982.53049878572</c:v>
                </c:pt>
                <c:pt idx="7">
                  <c:v>553509.07000400149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A0-4782-8394-209B64B74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110864"/>
        <c:axId val="763114464"/>
      </c:lineChart>
      <c:catAx>
        <c:axId val="7631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14464"/>
        <c:crosses val="autoZero"/>
        <c:auto val="1"/>
        <c:lblAlgn val="ctr"/>
        <c:lblOffset val="100"/>
        <c:noMultiLvlLbl val="0"/>
      </c:catAx>
      <c:valAx>
        <c:axId val="7631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1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forecast!$C$27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66-4A0F-9AE1-50B18CBDCCD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66-4A0F-9AE1-50B18CBDCCDF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66-4A0F-9AE1-50B18CBDCCDF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66-4A0F-9AE1-50B18CBDCCDF}"/>
              </c:ext>
            </c:extLst>
          </c:dPt>
          <c:cat>
            <c:multiLvlStrRef>
              <c:f>forecast!$D$13:$K$14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2026</c:v>
                  </c:pt>
                  <c:pt idx="6">
                    <c:v>2026</c:v>
                  </c:pt>
                  <c:pt idx="7">
                    <c:v>2026</c:v>
                  </c:pt>
                </c:lvl>
              </c:multiLvlStrCache>
            </c:multiLvlStrRef>
          </c:cat>
          <c:val>
            <c:numRef>
              <c:f>forecast!$D$27:$K$27</c:f>
              <c:numCache>
                <c:formatCode>#,##0_);[Red]\(#,##0\)</c:formatCode>
                <c:ptCount val="8"/>
                <c:pt idx="0">
                  <c:v>319325.99400000001</c:v>
                </c:pt>
                <c:pt idx="1">
                  <c:v>326476.07999999996</c:v>
                </c:pt>
                <c:pt idx="2">
                  <c:v>335705.625</c:v>
                </c:pt>
                <c:pt idx="3">
                  <c:v>477971.27999999997</c:v>
                </c:pt>
                <c:pt idx="4">
                  <c:v>370047.60384262202</c:v>
                </c:pt>
                <c:pt idx="5">
                  <c:v>377743.77387432125</c:v>
                </c:pt>
                <c:pt idx="6">
                  <c:v>388982.53049878572</c:v>
                </c:pt>
                <c:pt idx="7">
                  <c:v>553509.07000400149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F6-4EDF-B1A7-E47BDF2A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110864"/>
        <c:axId val="763114464"/>
      </c:barChart>
      <c:catAx>
        <c:axId val="7631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14464"/>
        <c:crosses val="autoZero"/>
        <c:auto val="1"/>
        <c:lblAlgn val="ctr"/>
        <c:lblOffset val="100"/>
        <c:noMultiLvlLbl val="0"/>
      </c:catAx>
      <c:valAx>
        <c:axId val="7631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1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50798</xdr:colOff>
      <xdr:row>35</xdr:row>
      <xdr:rowOff>65087</xdr:rowOff>
    </xdr:from>
    <xdr:to>
      <xdr:col>12</xdr:col>
      <xdr:colOff>133349</xdr:colOff>
      <xdr:row>50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81FDB-8BFE-40A4-B45C-46FB11569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247650</xdr:colOff>
      <xdr:row>35</xdr:row>
      <xdr:rowOff>85725</xdr:rowOff>
    </xdr:from>
    <xdr:to>
      <xdr:col>29</xdr:col>
      <xdr:colOff>158751</xdr:colOff>
      <xdr:row>50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D11B8-993D-4C3B-A6BF-F416C7D76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BEB3-F5D8-4490-9DB2-00155C1345C2}">
  <dimension ref="A1:Z35"/>
  <sheetViews>
    <sheetView tabSelected="1" zoomScale="90" zoomScaleNormal="90" workbookViewId="0">
      <selection activeCell="C25" sqref="C25"/>
    </sheetView>
  </sheetViews>
  <sheetFormatPr defaultColWidth="8.7109375" defaultRowHeight="15" x14ac:dyDescent="0.25"/>
  <cols>
    <col min="1" max="1" width="25.28515625" style="1" customWidth="1"/>
    <col min="2" max="2" width="14.28515625" style="1" bestFit="1" customWidth="1"/>
    <col min="3" max="3" width="27.85546875" style="1" customWidth="1"/>
    <col min="4" max="15" width="9.28515625" style="1" bestFit="1" customWidth="1"/>
    <col min="16" max="16384" width="8.7109375" style="1"/>
  </cols>
  <sheetData>
    <row r="1" spans="1:26" x14ac:dyDescent="0.25">
      <c r="V1" s="1" t="s">
        <v>21</v>
      </c>
      <c r="W1" s="1">
        <v>6.9</v>
      </c>
      <c r="X1" s="1">
        <v>5.9</v>
      </c>
      <c r="Y1" s="1">
        <v>2.2000000000000002</v>
      </c>
      <c r="Z1" s="1">
        <v>2.2000000000000002</v>
      </c>
    </row>
    <row r="2" spans="1:26" x14ac:dyDescent="0.25">
      <c r="A2" s="16" t="s">
        <v>29</v>
      </c>
      <c r="B2" s="16" t="s">
        <v>10</v>
      </c>
      <c r="C2" s="1" t="s">
        <v>8</v>
      </c>
      <c r="D2" s="1">
        <v>580</v>
      </c>
      <c r="E2" s="1">
        <v>600</v>
      </c>
      <c r="F2" s="1">
        <v>630</v>
      </c>
      <c r="G2" s="1">
        <v>860</v>
      </c>
    </row>
    <row r="3" spans="1:26" x14ac:dyDescent="0.25">
      <c r="A3" s="16"/>
      <c r="B3" s="16"/>
      <c r="C3" s="1" t="s">
        <v>9</v>
      </c>
      <c r="D3" s="1">
        <v>520</v>
      </c>
      <c r="E3" s="1">
        <v>530</v>
      </c>
      <c r="F3" s="1">
        <v>580</v>
      </c>
      <c r="G3" s="1">
        <v>780</v>
      </c>
    </row>
    <row r="4" spans="1:26" x14ac:dyDescent="0.25">
      <c r="A4" s="16"/>
      <c r="B4" s="16" t="s">
        <v>11</v>
      </c>
      <c r="C4" s="1" t="s">
        <v>8</v>
      </c>
      <c r="D4" s="1">
        <v>956</v>
      </c>
      <c r="E4" s="1">
        <v>960</v>
      </c>
      <c r="F4" s="1">
        <v>966</v>
      </c>
      <c r="G4" s="1">
        <v>971</v>
      </c>
    </row>
    <row r="5" spans="1:26" x14ac:dyDescent="0.25">
      <c r="A5" s="16"/>
      <c r="B5" s="16"/>
      <c r="C5" s="1" t="s">
        <v>9</v>
      </c>
      <c r="D5" s="2">
        <f t="shared" ref="D5:G5" si="0">D4*0.96</f>
        <v>917.76</v>
      </c>
      <c r="E5" s="2">
        <f t="shared" si="0"/>
        <v>921.59999999999991</v>
      </c>
      <c r="F5" s="2">
        <f t="shared" si="0"/>
        <v>927.36</v>
      </c>
      <c r="G5" s="2">
        <f t="shared" si="0"/>
        <v>932.16</v>
      </c>
    </row>
    <row r="6" spans="1:26" x14ac:dyDescent="0.25">
      <c r="A6" s="16"/>
      <c r="B6" s="1" t="s">
        <v>12</v>
      </c>
      <c r="C6" s="1" t="s">
        <v>13</v>
      </c>
      <c r="D6" s="3">
        <f t="shared" ref="D6:G6" ca="1" si="1">RANDBETWEEN(600,650)/1000</f>
        <v>0.64400000000000002</v>
      </c>
      <c r="E6" s="3">
        <f t="shared" ca="1" si="1"/>
        <v>0.60399999999999998</v>
      </c>
      <c r="F6" s="3">
        <f t="shared" ca="1" si="1"/>
        <v>0.625</v>
      </c>
      <c r="G6" s="3">
        <f t="shared" ca="1" si="1"/>
        <v>0.61299999999999999</v>
      </c>
    </row>
    <row r="7" spans="1:26" x14ac:dyDescent="0.25">
      <c r="A7" s="16" t="s">
        <v>28</v>
      </c>
      <c r="B7" s="16" t="s">
        <v>10</v>
      </c>
      <c r="C7" s="1" t="s">
        <v>8</v>
      </c>
      <c r="D7" s="1">
        <v>348</v>
      </c>
      <c r="E7" s="1">
        <v>360</v>
      </c>
      <c r="F7" s="1">
        <v>378</v>
      </c>
      <c r="G7" s="1">
        <v>516</v>
      </c>
    </row>
    <row r="8" spans="1:26" x14ac:dyDescent="0.25">
      <c r="A8" s="16"/>
      <c r="B8" s="16"/>
      <c r="C8" s="1" t="s">
        <v>9</v>
      </c>
      <c r="D8" s="1">
        <v>312</v>
      </c>
      <c r="E8" s="1">
        <v>318</v>
      </c>
      <c r="F8" s="1">
        <v>348</v>
      </c>
      <c r="G8" s="1">
        <v>468</v>
      </c>
    </row>
    <row r="9" spans="1:26" x14ac:dyDescent="0.25">
      <c r="A9" s="16"/>
      <c r="B9" s="16" t="s">
        <v>11</v>
      </c>
      <c r="C9" s="1" t="s">
        <v>8</v>
      </c>
      <c r="D9" s="2">
        <v>1092.7080000000001</v>
      </c>
      <c r="E9" s="2">
        <v>1103.04</v>
      </c>
      <c r="F9" s="2">
        <v>1097.376</v>
      </c>
      <c r="G9" s="2">
        <v>1104.998</v>
      </c>
    </row>
    <row r="10" spans="1:26" x14ac:dyDescent="0.25">
      <c r="A10" s="16"/>
      <c r="B10" s="16"/>
      <c r="C10" s="1" t="s">
        <v>9</v>
      </c>
      <c r="D10" s="2">
        <v>1046.2464</v>
      </c>
      <c r="E10" s="2">
        <v>1032.1919999999998</v>
      </c>
      <c r="F10" s="2">
        <v>1048.8441599999999</v>
      </c>
      <c r="G10" s="2">
        <v>1058.0015999999998</v>
      </c>
    </row>
    <row r="11" spans="1:26" x14ac:dyDescent="0.25">
      <c r="A11" s="16"/>
      <c r="B11" s="1" t="s">
        <v>12</v>
      </c>
      <c r="C11" s="1" t="s">
        <v>13</v>
      </c>
      <c r="D11" s="1">
        <f t="shared" ref="D11:G11" ca="1" si="2">RANDBETWEEN(640,690)/1000</f>
        <v>0.64900000000000002</v>
      </c>
      <c r="E11" s="1">
        <f t="shared" ca="1" si="2"/>
        <v>0.67200000000000004</v>
      </c>
      <c r="F11" s="1">
        <f t="shared" ca="1" si="2"/>
        <v>0.66500000000000004</v>
      </c>
      <c r="G11" s="1">
        <f t="shared" ca="1" si="2"/>
        <v>0.66700000000000004</v>
      </c>
    </row>
    <row r="13" spans="1:26" x14ac:dyDescent="0.25">
      <c r="B13" s="7"/>
      <c r="C13" s="7" t="s">
        <v>5</v>
      </c>
      <c r="D13" s="7">
        <v>2025</v>
      </c>
      <c r="E13" s="7">
        <v>2025</v>
      </c>
      <c r="F13" s="7">
        <v>2025</v>
      </c>
      <c r="G13" s="7">
        <v>2025</v>
      </c>
      <c r="H13" s="14">
        <v>2026</v>
      </c>
      <c r="I13" s="14">
        <v>2026</v>
      </c>
      <c r="J13" s="14">
        <v>2026</v>
      </c>
      <c r="K13" s="14">
        <v>2026</v>
      </c>
    </row>
    <row r="14" spans="1:26" x14ac:dyDescent="0.25">
      <c r="B14" s="7"/>
      <c r="C14" s="7" t="s">
        <v>4</v>
      </c>
      <c r="D14" s="7" t="s">
        <v>0</v>
      </c>
      <c r="E14" s="7" t="s">
        <v>1</v>
      </c>
      <c r="F14" s="7" t="s">
        <v>2</v>
      </c>
      <c r="G14" s="7" t="s">
        <v>3</v>
      </c>
      <c r="H14" s="14" t="s">
        <v>0</v>
      </c>
      <c r="I14" s="14" t="s">
        <v>1</v>
      </c>
      <c r="J14" s="14" t="s">
        <v>2</v>
      </c>
      <c r="K14" s="14" t="s">
        <v>3</v>
      </c>
    </row>
    <row r="15" spans="1:26" x14ac:dyDescent="0.25">
      <c r="A15" s="16" t="s">
        <v>19</v>
      </c>
      <c r="B15" s="17" t="s">
        <v>10</v>
      </c>
      <c r="C15" s="4" t="s">
        <v>29</v>
      </c>
      <c r="D15" s="5">
        <f t="shared" ref="D15:G15" ca="1" si="3">RANDBETWEEN(D3,D2)</f>
        <v>566</v>
      </c>
      <c r="E15" s="5">
        <f t="shared" ca="1" si="3"/>
        <v>554</v>
      </c>
      <c r="F15" s="5">
        <f t="shared" ca="1" si="3"/>
        <v>582</v>
      </c>
      <c r="G15" s="5">
        <f t="shared" ca="1" si="3"/>
        <v>826</v>
      </c>
      <c r="H15" s="5">
        <f ca="1">(1+$I$30)*D15</f>
        <v>650.63286480495913</v>
      </c>
      <c r="I15" s="5">
        <f ca="1">(1+$I$30)*E15</f>
        <v>636.83852844867022</v>
      </c>
      <c r="J15" s="5">
        <f ca="1">(1+$I$30)*F15</f>
        <v>669.02531328001089</v>
      </c>
      <c r="K15" s="5">
        <f ca="1">(1+$I$30)*G15</f>
        <v>949.51015252455159</v>
      </c>
    </row>
    <row r="16" spans="1:26" x14ac:dyDescent="0.25">
      <c r="A16" s="16"/>
      <c r="B16" s="17"/>
      <c r="C16" s="4" t="s">
        <v>28</v>
      </c>
      <c r="D16" s="5">
        <f t="shared" ref="D16:G16" ca="1" si="4">RANDBETWEEN(D8,D7)</f>
        <v>342</v>
      </c>
      <c r="E16" s="5">
        <f t="shared" ca="1" si="4"/>
        <v>360</v>
      </c>
      <c r="F16" s="5">
        <f t="shared" ca="1" si="4"/>
        <v>351</v>
      </c>
      <c r="G16" s="5">
        <f t="shared" ca="1" si="4"/>
        <v>500</v>
      </c>
      <c r="H16" s="5">
        <f ca="1">(1+$I$31)*D16</f>
        <v>393.54316239316239</v>
      </c>
      <c r="I16" s="5">
        <f ca="1">(1+$I$31)*E16</f>
        <v>414.25596041385512</v>
      </c>
      <c r="J16" s="5">
        <f ca="1">(1+$I$31)*F16</f>
        <v>403.89956140350876</v>
      </c>
      <c r="K16" s="5">
        <f ca="1">(1+$I$31)*G16</f>
        <v>575.35550057479884</v>
      </c>
    </row>
    <row r="17" spans="1:11" x14ac:dyDescent="0.25">
      <c r="A17" s="16"/>
      <c r="B17" s="18" t="s">
        <v>11</v>
      </c>
      <c r="C17" s="6" t="s">
        <v>29</v>
      </c>
      <c r="D17" s="6">
        <f t="shared" ref="D17:G17" ca="1" si="5">RANDBETWEEN(D5,D4)</f>
        <v>936</v>
      </c>
      <c r="E17" s="6">
        <f t="shared" ca="1" si="5"/>
        <v>930</v>
      </c>
      <c r="F17" s="6">
        <f t="shared" ca="1" si="5"/>
        <v>959</v>
      </c>
      <c r="G17" s="6">
        <f t="shared" ca="1" si="5"/>
        <v>940</v>
      </c>
      <c r="H17" s="8">
        <f ca="1">(1+$I$32)*D17</f>
        <v>937.5475932591072</v>
      </c>
      <c r="I17" s="8">
        <f ca="1">(1+$I$32)*E17</f>
        <v>931.53767278949749</v>
      </c>
      <c r="J17" s="8">
        <f ca="1">(1+$I$32)*F17</f>
        <v>960.58562172594418</v>
      </c>
      <c r="K17" s="8">
        <f ca="1">(1+$I$32)*G17</f>
        <v>941.55420690551364</v>
      </c>
    </row>
    <row r="18" spans="1:11" x14ac:dyDescent="0.25">
      <c r="A18" s="16"/>
      <c r="B18" s="18"/>
      <c r="C18" s="6" t="s">
        <v>28</v>
      </c>
      <c r="D18" s="6">
        <f t="shared" ref="D18:G18" ca="1" si="6">RANDBETWEEN(D10,D9)</f>
        <v>1089</v>
      </c>
      <c r="E18" s="6">
        <f t="shared" ca="1" si="6"/>
        <v>1037</v>
      </c>
      <c r="F18" s="6">
        <f t="shared" ca="1" si="6"/>
        <v>1075</v>
      </c>
      <c r="G18" s="6">
        <f t="shared" ca="1" si="6"/>
        <v>1066</v>
      </c>
      <c r="H18" s="8">
        <f ca="1">(1+$I$33)*D18</f>
        <v>1081.929429107518</v>
      </c>
      <c r="I18" s="8">
        <f ca="1">(1+$I$33)*E18</f>
        <v>1030.2670504908137</v>
      </c>
      <c r="J18" s="8">
        <f ca="1">(1+$I$33)*F18</f>
        <v>1068.0203271722514</v>
      </c>
      <c r="K18" s="8">
        <f ca="1">(1+$I$33)*G18</f>
        <v>1059.0787616424373</v>
      </c>
    </row>
    <row r="19" spans="1:11" x14ac:dyDescent="0.25">
      <c r="A19" s="16"/>
      <c r="B19" s="17" t="s">
        <v>14</v>
      </c>
      <c r="C19" s="4" t="s">
        <v>29</v>
      </c>
      <c r="D19" s="5">
        <f t="shared" ref="D19:G19" ca="1" si="7">D17*D6</f>
        <v>602.78399999999999</v>
      </c>
      <c r="E19" s="5">
        <f t="shared" ca="1" si="7"/>
        <v>561.72</v>
      </c>
      <c r="F19" s="5">
        <f t="shared" ca="1" si="7"/>
        <v>599.375</v>
      </c>
      <c r="G19" s="5">
        <f t="shared" ca="1" si="7"/>
        <v>576.22</v>
      </c>
      <c r="H19" s="5">
        <f ca="1">(1+$I$34)*D19</f>
        <v>594.80301212020015</v>
      </c>
      <c r="I19" s="5">
        <f ca="1">(1+$I$34)*E19</f>
        <v>554.28270818097167</v>
      </c>
      <c r="J19" s="5">
        <f ca="1">(1+$I$34)*F19</f>
        <v>591.43914800251002</v>
      </c>
      <c r="K19" s="5">
        <f ca="1">(1+$I$34)*G19</f>
        <v>568.59072510866542</v>
      </c>
    </row>
    <row r="20" spans="1:11" x14ac:dyDescent="0.25">
      <c r="A20" s="16"/>
      <c r="B20" s="17"/>
      <c r="C20" s="4" t="s">
        <v>28</v>
      </c>
      <c r="D20" s="5">
        <f t="shared" ref="D20:G20" ca="1" si="8">D18*D11</f>
        <v>706.76099999999997</v>
      </c>
      <c r="E20" s="5">
        <f t="shared" ca="1" si="8"/>
        <v>696.86400000000003</v>
      </c>
      <c r="F20" s="5">
        <f t="shared" ca="1" si="8"/>
        <v>714.875</v>
      </c>
      <c r="G20" s="5">
        <f t="shared" ca="1" si="8"/>
        <v>711.02200000000005</v>
      </c>
      <c r="H20" s="5">
        <f ca="1">(1+$I$35)*D20</f>
        <v>708.28117607819775</v>
      </c>
      <c r="I20" s="5">
        <f ca="1">(1+$I$35)*E20</f>
        <v>698.36288856707881</v>
      </c>
      <c r="J20" s="5">
        <f ca="1">(1+$I$35)*F20</f>
        <v>716.41262852492093</v>
      </c>
      <c r="K20" s="5">
        <f ca="1">(1+$I$35)*G20</f>
        <v>712.55134108626874</v>
      </c>
    </row>
    <row r="21" spans="1:11" x14ac:dyDescent="0.25">
      <c r="A21" s="16" t="s">
        <v>20</v>
      </c>
      <c r="B21" s="18" t="s">
        <v>15</v>
      </c>
      <c r="C21" s="6" t="s">
        <v>29</v>
      </c>
      <c r="D21" s="9">
        <f t="shared" ref="D21:K22" ca="1" si="9">D17*D15</f>
        <v>529776</v>
      </c>
      <c r="E21" s="9">
        <f t="shared" ca="1" si="9"/>
        <v>515220</v>
      </c>
      <c r="F21" s="9">
        <f t="shared" ca="1" si="9"/>
        <v>558138</v>
      </c>
      <c r="G21" s="9">
        <f t="shared" ca="1" si="9"/>
        <v>776440</v>
      </c>
      <c r="H21" s="9">
        <f t="shared" ca="1" si="9"/>
        <v>609999.2764931675</v>
      </c>
      <c r="I21" s="9">
        <f t="shared" ca="1" si="9"/>
        <v>593239.08073376247</v>
      </c>
      <c r="J21" s="9">
        <f t="shared" ca="1" si="9"/>
        <v>642656.09650747385</v>
      </c>
      <c r="K21" s="9">
        <f t="shared" ca="1" si="9"/>
        <v>894015.27860898746</v>
      </c>
    </row>
    <row r="22" spans="1:11" x14ac:dyDescent="0.25">
      <c r="A22" s="16"/>
      <c r="B22" s="18"/>
      <c r="C22" s="6" t="s">
        <v>28</v>
      </c>
      <c r="D22" s="9">
        <f t="shared" ca="1" si="9"/>
        <v>372438</v>
      </c>
      <c r="E22" s="9">
        <f t="shared" ca="1" si="9"/>
        <v>373320</v>
      </c>
      <c r="F22" s="9">
        <f t="shared" ca="1" si="9"/>
        <v>377325</v>
      </c>
      <c r="G22" s="9">
        <f t="shared" ca="1" si="9"/>
        <v>533000</v>
      </c>
      <c r="H22" s="9">
        <f t="shared" ca="1" si="9"/>
        <v>425785.92901720142</v>
      </c>
      <c r="I22" s="9">
        <f t="shared" ca="1" si="9"/>
        <v>426794.26648382179</v>
      </c>
      <c r="J22" s="9">
        <f t="shared" ca="1" si="9"/>
        <v>431372.94171490427</v>
      </c>
      <c r="K22" s="9">
        <f t="shared" ca="1" si="9"/>
        <v>609346.79105292261</v>
      </c>
    </row>
    <row r="23" spans="1:11" ht="14.45" customHeight="1" x14ac:dyDescent="0.25">
      <c r="A23" s="16"/>
      <c r="B23" s="19" t="s">
        <v>16</v>
      </c>
      <c r="C23" s="4" t="s">
        <v>29</v>
      </c>
      <c r="D23" s="10">
        <f t="shared" ref="D23:K24" ca="1" si="10">D19*D15</f>
        <v>341175.74400000001</v>
      </c>
      <c r="E23" s="10">
        <f t="shared" ca="1" si="10"/>
        <v>311192.88</v>
      </c>
      <c r="F23" s="10">
        <f t="shared" ca="1" si="10"/>
        <v>348836.25</v>
      </c>
      <c r="G23" s="10">
        <f t="shared" ca="1" si="10"/>
        <v>475957.72000000003</v>
      </c>
      <c r="H23" s="10">
        <f t="shared" ca="1" si="10"/>
        <v>386998.38777038467</v>
      </c>
      <c r="I23" s="10">
        <f t="shared" ca="1" si="10"/>
        <v>352988.58422251372</v>
      </c>
      <c r="J23" s="10">
        <f t="shared" ca="1" si="10"/>
        <v>395687.76127844199</v>
      </c>
      <c r="K23" s="10">
        <f t="shared" ca="1" si="10"/>
        <v>539882.66612197424</v>
      </c>
    </row>
    <row r="24" spans="1:11" x14ac:dyDescent="0.25">
      <c r="A24" s="16"/>
      <c r="B24" s="19"/>
      <c r="C24" s="4" t="s">
        <v>28</v>
      </c>
      <c r="D24" s="10">
        <f t="shared" ca="1" si="10"/>
        <v>241712.26199999999</v>
      </c>
      <c r="E24" s="10">
        <f t="shared" ca="1" si="10"/>
        <v>250871.04000000001</v>
      </c>
      <c r="F24" s="10">
        <f t="shared" ca="1" si="10"/>
        <v>250921.125</v>
      </c>
      <c r="G24" s="10">
        <f t="shared" ca="1" si="10"/>
        <v>355511</v>
      </c>
      <c r="H24" s="10">
        <f t="shared" ca="1" si="10"/>
        <v>278739.21389736224</v>
      </c>
      <c r="I24" s="10">
        <f t="shared" ca="1" si="10"/>
        <v>289300.98912074929</v>
      </c>
      <c r="J24" s="10">
        <f t="shared" ca="1" si="10"/>
        <v>289358.74644515041</v>
      </c>
      <c r="K24" s="10">
        <f t="shared" ca="1" si="10"/>
        <v>409970.33353593439</v>
      </c>
    </row>
    <row r="25" spans="1:11" ht="14.45" customHeight="1" x14ac:dyDescent="0.25">
      <c r="A25" s="16"/>
      <c r="B25" s="18" t="s">
        <v>17</v>
      </c>
      <c r="C25" s="6" t="s">
        <v>29</v>
      </c>
      <c r="D25" s="9">
        <f t="shared" ref="D25:K26" ca="1" si="11">D21-D23</f>
        <v>188600.25599999999</v>
      </c>
      <c r="E25" s="9">
        <f t="shared" ca="1" si="11"/>
        <v>204027.12</v>
      </c>
      <c r="F25" s="9">
        <f t="shared" ca="1" si="11"/>
        <v>209301.75</v>
      </c>
      <c r="G25" s="9">
        <f t="shared" ca="1" si="11"/>
        <v>300482.27999999997</v>
      </c>
      <c r="H25" s="9">
        <f t="shared" ca="1" si="11"/>
        <v>223000.88872278284</v>
      </c>
      <c r="I25" s="9">
        <f t="shared" ca="1" si="11"/>
        <v>240250.49651124876</v>
      </c>
      <c r="J25" s="9">
        <f t="shared" ca="1" si="11"/>
        <v>246968.33522903186</v>
      </c>
      <c r="K25" s="9">
        <f t="shared" ca="1" si="11"/>
        <v>354132.61248701322</v>
      </c>
    </row>
    <row r="26" spans="1:11" x14ac:dyDescent="0.25">
      <c r="A26" s="16"/>
      <c r="B26" s="18"/>
      <c r="C26" s="6" t="s">
        <v>28</v>
      </c>
      <c r="D26" s="9">
        <f t="shared" ca="1" si="11"/>
        <v>130725.73800000001</v>
      </c>
      <c r="E26" s="9">
        <f t="shared" ca="1" si="11"/>
        <v>122448.95999999999</v>
      </c>
      <c r="F26" s="9">
        <f t="shared" ca="1" si="11"/>
        <v>126403.875</v>
      </c>
      <c r="G26" s="9">
        <f t="shared" ca="1" si="11"/>
        <v>177489</v>
      </c>
      <c r="H26" s="9">
        <f t="shared" ca="1" si="11"/>
        <v>147046.71511983918</v>
      </c>
      <c r="I26" s="9">
        <f t="shared" ca="1" si="11"/>
        <v>137493.2773630725</v>
      </c>
      <c r="J26" s="9">
        <f t="shared" ca="1" si="11"/>
        <v>142014.19526975387</v>
      </c>
      <c r="K26" s="9">
        <f t="shared" ca="1" si="11"/>
        <v>199376.45751698822</v>
      </c>
    </row>
    <row r="27" spans="1:11" x14ac:dyDescent="0.25">
      <c r="C27" s="15" t="s">
        <v>18</v>
      </c>
      <c r="D27" s="11">
        <f t="shared" ref="D27:K27" ca="1" si="12">SUM(D25:D26)</f>
        <v>319325.99400000001</v>
      </c>
      <c r="E27" s="11">
        <f t="shared" ca="1" si="12"/>
        <v>326476.07999999996</v>
      </c>
      <c r="F27" s="11">
        <f t="shared" ca="1" si="12"/>
        <v>335705.625</v>
      </c>
      <c r="G27" s="11">
        <f t="shared" ca="1" si="12"/>
        <v>477971.27999999997</v>
      </c>
      <c r="H27" s="11">
        <f t="shared" ca="1" si="12"/>
        <v>370047.60384262202</v>
      </c>
      <c r="I27" s="11">
        <f t="shared" ca="1" si="12"/>
        <v>377743.77387432125</v>
      </c>
      <c r="J27" s="11">
        <f t="shared" ca="1" si="12"/>
        <v>388982.53049878572</v>
      </c>
      <c r="K27" s="11">
        <f t="shared" ca="1" si="12"/>
        <v>553509.07000400149</v>
      </c>
    </row>
    <row r="29" spans="1:11" x14ac:dyDescent="0.25">
      <c r="H29" s="1" t="s">
        <v>26</v>
      </c>
      <c r="I29" s="1" t="s">
        <v>25</v>
      </c>
    </row>
    <row r="30" spans="1:11" ht="14.45" customHeight="1" x14ac:dyDescent="0.25">
      <c r="A30" s="16" t="s">
        <v>27</v>
      </c>
      <c r="B30" s="19" t="s">
        <v>22</v>
      </c>
      <c r="C30" s="4" t="s">
        <v>6</v>
      </c>
      <c r="D30" s="13"/>
      <c r="E30" s="13">
        <f t="shared" ref="E30:G35" ca="1" si="13">((E15/D15)-1)</f>
        <v>-2.1201413427561877E-2</v>
      </c>
      <c r="F30" s="13">
        <f t="shared" ca="1" si="13"/>
        <v>5.0541516245487417E-2</v>
      </c>
      <c r="G30" s="13">
        <f t="shared" ca="1" si="13"/>
        <v>0.4192439862542956</v>
      </c>
      <c r="H30" s="13">
        <f t="shared" ref="H30:H35" ca="1" si="14">SUM(D30:G30)</f>
        <v>0.44858408907222114</v>
      </c>
      <c r="I30" s="13">
        <f t="shared" ref="I30:I35" ca="1" si="15">AVERAGE(D30:G30)</f>
        <v>0.14952802969074039</v>
      </c>
    </row>
    <row r="31" spans="1:11" x14ac:dyDescent="0.25">
      <c r="A31" s="16"/>
      <c r="B31" s="19"/>
      <c r="C31" s="4" t="s">
        <v>7</v>
      </c>
      <c r="D31" s="13"/>
      <c r="E31" s="13">
        <f t="shared" ca="1" si="13"/>
        <v>5.2631578947368363E-2</v>
      </c>
      <c r="F31" s="13">
        <f t="shared" ca="1" si="13"/>
        <v>-2.5000000000000022E-2</v>
      </c>
      <c r="G31" s="13">
        <f t="shared" ca="1" si="13"/>
        <v>0.42450142450142447</v>
      </c>
      <c r="H31" s="13">
        <f t="shared" ca="1" si="14"/>
        <v>0.45213300344879281</v>
      </c>
      <c r="I31" s="13">
        <f t="shared" ca="1" si="15"/>
        <v>0.1507110011495976</v>
      </c>
    </row>
    <row r="32" spans="1:11" ht="14.45" customHeight="1" x14ac:dyDescent="0.25">
      <c r="A32" s="16"/>
      <c r="B32" s="20" t="s">
        <v>23</v>
      </c>
      <c r="C32" s="6" t="s">
        <v>6</v>
      </c>
      <c r="D32" s="12"/>
      <c r="E32" s="12">
        <f t="shared" ca="1" si="13"/>
        <v>-6.4102564102563875E-3</v>
      </c>
      <c r="F32" s="12">
        <f t="shared" ca="1" si="13"/>
        <v>3.1182795698924792E-2</v>
      </c>
      <c r="G32" s="12">
        <f t="shared" ca="1" si="13"/>
        <v>-1.9812304483837306E-2</v>
      </c>
      <c r="H32" s="12">
        <f t="shared" ca="1" si="14"/>
        <v>4.9602348048310985E-3</v>
      </c>
      <c r="I32" s="12">
        <f t="shared" ca="1" si="15"/>
        <v>1.6534116016103662E-3</v>
      </c>
    </row>
    <row r="33" spans="1:9" x14ac:dyDescent="0.25">
      <c r="A33" s="16"/>
      <c r="B33" s="20"/>
      <c r="C33" s="6" t="s">
        <v>7</v>
      </c>
      <c r="D33" s="12"/>
      <c r="E33" s="12">
        <f t="shared" ca="1" si="13"/>
        <v>-4.7750229568411351E-2</v>
      </c>
      <c r="F33" s="12">
        <f t="shared" ca="1" si="13"/>
        <v>3.6644165863066513E-2</v>
      </c>
      <c r="G33" s="12">
        <f t="shared" ca="1" si="13"/>
        <v>-8.3720930232558111E-3</v>
      </c>
      <c r="H33" s="12">
        <f t="shared" ca="1" si="14"/>
        <v>-1.9478156728600649E-2</v>
      </c>
      <c r="I33" s="12">
        <f t="shared" ca="1" si="15"/>
        <v>-6.4927189095335498E-3</v>
      </c>
    </row>
    <row r="34" spans="1:9" ht="14.45" customHeight="1" x14ac:dyDescent="0.25">
      <c r="A34" s="16"/>
      <c r="B34" s="19" t="s">
        <v>24</v>
      </c>
      <c r="C34" s="4" t="s">
        <v>6</v>
      </c>
      <c r="D34" s="13"/>
      <c r="E34" s="13">
        <f t="shared" ca="1" si="13"/>
        <v>-6.8123905080426761E-2</v>
      </c>
      <c r="F34" s="13">
        <f t="shared" ca="1" si="13"/>
        <v>6.7035177668589352E-2</v>
      </c>
      <c r="G34" s="13">
        <f t="shared" ca="1" si="13"/>
        <v>-3.8631908237747647E-2</v>
      </c>
      <c r="H34" s="13">
        <f t="shared" ca="1" si="14"/>
        <v>-3.9720635649585057E-2</v>
      </c>
      <c r="I34" s="13">
        <f t="shared" ca="1" si="15"/>
        <v>-1.3240211883195019E-2</v>
      </c>
    </row>
    <row r="35" spans="1:9" x14ac:dyDescent="0.25">
      <c r="A35" s="16"/>
      <c r="B35" s="19"/>
      <c r="C35" s="4" t="s">
        <v>7</v>
      </c>
      <c r="D35" s="13"/>
      <c r="E35" s="13">
        <f t="shared" ca="1" si="13"/>
        <v>-1.4003319368216305E-2</v>
      </c>
      <c r="F35" s="13">
        <f t="shared" ca="1" si="13"/>
        <v>2.5845789135326314E-2</v>
      </c>
      <c r="G35" s="13">
        <f t="shared" ca="1" si="13"/>
        <v>-5.3897534534008695E-3</v>
      </c>
      <c r="H35" s="13">
        <f t="shared" ca="1" si="14"/>
        <v>6.4527163137091392E-3</v>
      </c>
      <c r="I35" s="13">
        <f t="shared" ca="1" si="15"/>
        <v>2.1509054379030466E-3</v>
      </c>
    </row>
  </sheetData>
  <mergeCells count="18">
    <mergeCell ref="A2:A6"/>
    <mergeCell ref="B2:B3"/>
    <mergeCell ref="B4:B5"/>
    <mergeCell ref="A7:A11"/>
    <mergeCell ref="B7:B8"/>
    <mergeCell ref="B9:B10"/>
    <mergeCell ref="A30:A35"/>
    <mergeCell ref="B30:B31"/>
    <mergeCell ref="B32:B33"/>
    <mergeCell ref="B34:B35"/>
    <mergeCell ref="A15:A20"/>
    <mergeCell ref="B15:B16"/>
    <mergeCell ref="B17:B18"/>
    <mergeCell ref="B19:B20"/>
    <mergeCell ref="A21:A26"/>
    <mergeCell ref="B21:B22"/>
    <mergeCell ref="B23:B24"/>
    <mergeCell ref="B25:B26"/>
  </mergeCells>
  <pageMargins left="0.7" right="0.7" top="0.75" bottom="0.75" header="0.3" footer="0.3"/>
  <headerFooter>
    <oddFooter>&amp;C_x000D_&amp;1#&amp;"BMW Group Condensed"&amp;12&amp;KC00000 CONFIDENTIAL</oddFooter>
  </headerFooter>
  <drawing r:id="rId1"/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Norouzi Ali, FF-42</dc:creator>
  <cp:lastModifiedBy>elnaz hoseinini</cp:lastModifiedBy>
  <dcterms:created xsi:type="dcterms:W3CDTF">2015-06-05T18:19:34Z</dcterms:created>
  <dcterms:modified xsi:type="dcterms:W3CDTF">2026-01-25T17:44:24Z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{A9186786-A66A-43B7-B953-D69FBE932B3B}</vt:lpwstr>
  </property>
</Properties>
</file>